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https://profitiapl-my.sharepoint.com/personal/tomasz_uscinski_profitia_pl/Documents/Context Profitia to Copilot/"/>
    </mc:Choice>
  </mc:AlternateContent>
  <xr:revisionPtr revIDLastSave="42" documentId="13_ncr:1_{64527841-B98F-934C-84F4-88C41C4CAE6B}" xr6:coauthVersionLast="47" xr6:coauthVersionMax="47" xr10:uidLastSave="{EDA4100B-8A53-F74F-A4D3-81FEFF14592F}"/>
  <bookViews>
    <workbookView xWindow="0" yWindow="620" windowWidth="28800" windowHeight="16200" activeTab="1" xr2:uid="{00000000-000D-0000-FFFF-FFFF00000000}"/>
  </bookViews>
  <sheets>
    <sheet name="Instrukcja" sheetId="2" r:id="rId1"/>
    <sheet name="Model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6" i="1"/>
  <c r="C15" i="1"/>
  <c r="C14" i="1"/>
  <c r="F6" i="1"/>
  <c r="F7" i="1" s="1"/>
  <c r="B17" i="1"/>
  <c r="B16" i="1"/>
  <c r="B15" i="1"/>
  <c r="B14" i="1"/>
  <c r="F5" i="1"/>
  <c r="F4" i="1"/>
  <c r="I5" i="1" s="1"/>
  <c r="F8" i="1" l="1"/>
  <c r="F9" i="1" l="1"/>
  <c r="C17" i="1"/>
  <c r="C16" i="1"/>
  <c r="I8" i="1" l="1"/>
  <c r="I4" i="1"/>
</calcChain>
</file>

<file path=xl/sharedStrings.xml><?xml version="1.0" encoding="utf-8"?>
<sst xmlns="http://schemas.openxmlformats.org/spreadsheetml/2006/main" count="50" uniqueCount="48">
  <si>
    <t>Model porównania: WACC vs oszczędności na zakupach</t>
  </si>
  <si>
    <t>Cel</t>
  </si>
  <si>
    <r>
      <t>Arkusz pozwala ocenić, czy wcześniejszy zakup w T</t>
    </r>
    <r>
      <rPr>
        <vertAlign val="superscript"/>
        <sz val="11"/>
        <rFont val="Arial"/>
        <family val="2"/>
      </rPr>
      <t>0</t>
    </r>
    <r>
      <rPr>
        <sz val="11"/>
        <rFont val="Arial"/>
        <family val="2"/>
      </rPr>
      <t xml:space="preserve"> jest finansowo uzasadniony względem zakupu w T</t>
    </r>
    <r>
      <rPr>
        <vertAlign val="superscript"/>
        <sz val="11"/>
        <rFont val="Arial"/>
        <family val="2"/>
      </rPr>
      <t>1</t>
    </r>
    <r>
      <rPr>
        <sz val="11"/>
        <rFont val="Arial"/>
        <family val="2"/>
      </rPr>
      <t xml:space="preserve"> na podstawie prognoz cenowych.</t>
    </r>
  </si>
  <si>
    <t>Jak używać</t>
  </si>
  <si>
    <t>Wprowadź wartości w żółtych komórkach (kolumna C) na arkuszu Model. Pozostałe pola liczą się automatycznie.</t>
  </si>
  <si>
    <t>Logika</t>
  </si>
  <si>
    <r>
      <t>Korzyść cenowa = (Cena T</t>
    </r>
    <r>
      <rPr>
        <vertAlign val="superscript"/>
        <sz val="11"/>
        <rFont val="Arial"/>
        <family val="2"/>
      </rPr>
      <t xml:space="preserve">1 </t>
    </r>
    <r>
      <rPr>
        <sz val="11"/>
        <rFont val="Arial"/>
        <family val="2"/>
      </rPr>
      <t>- Cena T</t>
    </r>
    <r>
      <rPr>
        <vertAlign val="superscript"/>
        <sz val="11"/>
        <rFont val="Arial"/>
        <family val="2"/>
      </rPr>
      <t>0</t>
    </r>
    <r>
      <rPr>
        <sz val="11"/>
        <rFont val="Arial"/>
        <family val="2"/>
      </rPr>
      <t>) × wolumen. Koszt finansowania = wartość zakupu w T0 × WACC × okres/12.</t>
    </r>
  </si>
  <si>
    <t>Decyzja</t>
  </si>
  <si>
    <t>Jeżeli korzyść netto &gt; 0, wcześniejszy zakup jest finansowo korzystny przy założonych parametrach.</t>
  </si>
  <si>
    <t>Uwaga</t>
  </si>
  <si>
    <t>Model uwzględnia także dodatkowe koszty, np. magazynowanie lub ubezpieczenie (TCO)</t>
  </si>
  <si>
    <t>ĆWICZENIE: Porównanie wcześniejszego zakupu: WACC vs. oszczędności</t>
  </si>
  <si>
    <t>Założenia wejściowe</t>
  </si>
  <si>
    <t>Obliczenia</t>
  </si>
  <si>
    <t>Wynik</t>
  </si>
  <si>
    <r>
      <t>Cena zakupu w T</t>
    </r>
    <r>
      <rPr>
        <vertAlign val="superscript"/>
        <sz val="11"/>
        <rFont val="Arial"/>
        <family val="2"/>
      </rPr>
      <t>0</t>
    </r>
  </si>
  <si>
    <t>PLN / jednostkę</t>
  </si>
  <si>
    <r>
      <t>Różnica ceny (T</t>
    </r>
    <r>
      <rPr>
        <vertAlign val="superscript"/>
        <sz val="11"/>
        <rFont val="Arial"/>
        <family val="2"/>
      </rPr>
      <t xml:space="preserve">1 </t>
    </r>
    <r>
      <rPr>
        <sz val="11"/>
        <rFont val="Arial"/>
        <family val="2"/>
      </rPr>
      <t>- T</t>
    </r>
    <r>
      <rPr>
        <vertAlign val="superscript"/>
        <sz val="11"/>
        <rFont val="Arial"/>
        <family val="2"/>
      </rPr>
      <t>0</t>
    </r>
    <r>
      <rPr>
        <sz val="11"/>
        <rFont val="Arial"/>
        <family val="2"/>
      </rPr>
      <t>)</t>
    </r>
  </si>
  <si>
    <t>Czy wcześniejszy zakup jest opłacalny?</t>
  </si>
  <si>
    <r>
      <t>Prognozowana cena w T</t>
    </r>
    <r>
      <rPr>
        <vertAlign val="superscript"/>
        <sz val="11"/>
        <rFont val="Arial"/>
        <family val="2"/>
      </rPr>
      <t>1</t>
    </r>
  </si>
  <si>
    <t>Potencjalna korzyść cenowa brutto</t>
  </si>
  <si>
    <t>Cena prognozowana rośnie / spada?</t>
  </si>
  <si>
    <t>Wolumen zakupu</t>
  </si>
  <si>
    <t>jednostki</t>
  </si>
  <si>
    <r>
      <t>Wartość zakupu w T</t>
    </r>
    <r>
      <rPr>
        <vertAlign val="superscript"/>
        <sz val="11"/>
        <rFont val="Arial"/>
        <family val="2"/>
      </rPr>
      <t>0</t>
    </r>
  </si>
  <si>
    <r>
      <t>Próg ceny T</t>
    </r>
    <r>
      <rPr>
        <b/>
        <vertAlign val="superscript"/>
        <sz val="11"/>
        <rFont val="Arial"/>
        <family val="2"/>
      </rPr>
      <t>1</t>
    </r>
    <r>
      <rPr>
        <b/>
        <sz val="11"/>
        <rFont val="Arial"/>
        <family val="2"/>
      </rPr>
      <t xml:space="preserve"> dla break-even:</t>
    </r>
  </si>
  <si>
    <t>WACC</t>
  </si>
  <si>
    <t>% rocznie</t>
  </si>
  <si>
    <t>Koszt finansowania (WACC)</t>
  </si>
  <si>
    <r>
      <t>Zwrot netto / wartość zakupu T</t>
    </r>
    <r>
      <rPr>
        <b/>
        <vertAlign val="superscript"/>
        <sz val="11"/>
        <rFont val="Arial"/>
        <family val="2"/>
      </rPr>
      <t>0</t>
    </r>
    <r>
      <rPr>
        <b/>
        <sz val="11"/>
        <rFont val="Arial"/>
        <family val="2"/>
      </rPr>
      <t>:</t>
    </r>
  </si>
  <si>
    <t>Okres finansowania</t>
  </si>
  <si>
    <t>miesiące</t>
  </si>
  <si>
    <t>Łączny koszt wcześniejszego zakupu</t>
  </si>
  <si>
    <t>Komentarz:</t>
  </si>
  <si>
    <t>Dodatkowe koszty składowania / ubezpieczenia</t>
  </si>
  <si>
    <t>PLN</t>
  </si>
  <si>
    <t>Korzyść netto</t>
  </si>
  <si>
    <r>
      <t>Analiza wrażliwości: wpływ ceny T</t>
    </r>
    <r>
      <rPr>
        <b/>
        <vertAlign val="superscript"/>
        <sz val="11"/>
        <color rgb="FFFFFFFF"/>
        <rFont val="Arial"/>
        <family val="2"/>
      </rPr>
      <t>1</t>
    </r>
    <r>
      <rPr>
        <b/>
        <sz val="11"/>
        <color rgb="FFFFFFFF"/>
        <rFont val="Arial"/>
        <family val="2"/>
      </rPr>
      <t xml:space="preserve"> na korzyść netto</t>
    </r>
  </si>
  <si>
    <t>Scenariusze</t>
  </si>
  <si>
    <r>
      <t>Cena T</t>
    </r>
    <r>
      <rPr>
        <b/>
        <vertAlign val="superscript"/>
        <sz val="11"/>
        <rFont val="Arial"/>
        <family val="2"/>
      </rPr>
      <t>1</t>
    </r>
  </si>
  <si>
    <t>-5% vs baza</t>
  </si>
  <si>
    <t>Baza</t>
  </si>
  <si>
    <t>+5% vs baza</t>
  </si>
  <si>
    <t>+10% vs baza</t>
  </si>
  <si>
    <t>Wzory:</t>
  </si>
  <si>
    <r>
      <rPr>
        <b/>
        <sz val="11"/>
        <rFont val="Arial"/>
        <family val="2"/>
      </rPr>
      <t>Koszt WACC:</t>
    </r>
    <r>
      <rPr>
        <sz val="11"/>
        <rFont val="Arial"/>
        <family val="2"/>
      </rPr>
      <t xml:space="preserve"> Wartość zakupu w T</t>
    </r>
    <r>
      <rPr>
        <vertAlign val="superscript"/>
        <sz val="11"/>
        <rFont val="Arial"/>
        <family val="2"/>
      </rPr>
      <t xml:space="preserve">0 </t>
    </r>
    <r>
      <rPr>
        <sz val="11"/>
        <rFont val="Arial"/>
        <family val="2"/>
      </rPr>
      <t>× WACC × okres/12</t>
    </r>
  </si>
  <si>
    <r>
      <rPr>
        <b/>
        <sz val="11"/>
        <rFont val="Arial"/>
        <family val="2"/>
      </rPr>
      <t>Korzyść netto:</t>
    </r>
    <r>
      <rPr>
        <sz val="11"/>
        <rFont val="Arial"/>
        <family val="2"/>
      </rPr>
      <t xml:space="preserve"> Korzyść brutto - koszt WACC - koszty dodatkowe</t>
    </r>
  </si>
  <si>
    <r>
      <rPr>
        <b/>
        <sz val="11"/>
        <rFont val="Arial"/>
        <family val="2"/>
      </rPr>
      <t>Korzyść brutto:</t>
    </r>
    <r>
      <rPr>
        <sz val="11"/>
        <rFont val="Arial"/>
        <family val="2"/>
      </rPr>
      <t xml:space="preserve"> (Cena T</t>
    </r>
    <r>
      <rPr>
        <vertAlign val="superscript"/>
        <sz val="11"/>
        <rFont val="Arial"/>
        <family val="2"/>
      </rPr>
      <t>1</t>
    </r>
    <r>
      <rPr>
        <sz val="11"/>
        <rFont val="Arial"/>
        <family val="2"/>
      </rPr>
      <t xml:space="preserve"> - Cena T</t>
    </r>
    <r>
      <rPr>
        <vertAlign val="superscript"/>
        <sz val="11"/>
        <rFont val="Arial"/>
        <family val="2"/>
      </rPr>
      <t>0</t>
    </r>
    <r>
      <rPr>
        <sz val="11"/>
        <rFont val="Arial"/>
        <family val="2"/>
      </rPr>
      <t>) × wolumen zakupów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</si>
</sst>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(#,##0\);\-"/>
    <numFmt numFmtId="165" formatCode="0.0%;[Red]\(0.0%\);\-"/>
  </numFmts>
  <fonts count="12">
    <font>
      <sz val="11"/>
      <name val="Carlito"/>
    </font>
    <font>
      <sz val="12"/>
      <color theme="1"/>
      <name val="Calibri"/>
      <family val="2"/>
      <scheme val="minor"/>
    </font>
    <font>
      <sz val="11"/>
      <name val="Carlito"/>
    </font>
    <font>
      <b/>
      <sz val="14"/>
      <color rgb="FFFFFFFF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vertAlign val="superscript"/>
      <sz val="11"/>
      <name val="Arial"/>
      <family val="2"/>
    </font>
    <font>
      <b/>
      <vertAlign val="superscript"/>
      <sz val="11"/>
      <color rgb="FFFFFFFF"/>
      <name val="Arial"/>
      <family val="2"/>
    </font>
    <font>
      <b/>
      <sz val="11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" fillId="0" borderId="0"/>
  </cellStyleXfs>
  <cellXfs count="46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3" borderId="0" xfId="0" applyFont="1" applyFill="1" applyAlignment="1">
      <alignment horizontal="right" vertical="center" wrapText="1"/>
    </xf>
    <xf numFmtId="0" fontId="4" fillId="6" borderId="3" xfId="0" applyFont="1" applyFill="1" applyBorder="1"/>
    <xf numFmtId="0" fontId="4" fillId="3" borderId="4" xfId="0" applyFont="1" applyFill="1" applyBorder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0" fontId="4" fillId="3" borderId="6" xfId="0" applyFont="1" applyFill="1" applyBorder="1" applyAlignment="1">
      <alignment horizontal="right" vertical="center"/>
    </xf>
    <xf numFmtId="0" fontId="4" fillId="3" borderId="7" xfId="0" applyFont="1" applyFill="1" applyBorder="1" applyAlignment="1">
      <alignment horizontal="right"/>
    </xf>
    <xf numFmtId="0" fontId="4" fillId="5" borderId="4" xfId="0" applyFont="1" applyFill="1" applyBorder="1" applyAlignment="1">
      <alignment horizontal="right" vertical="center"/>
    </xf>
    <xf numFmtId="164" fontId="6" fillId="0" borderId="5" xfId="0" applyNumberFormat="1" applyFont="1" applyBorder="1" applyAlignment="1">
      <alignment vertical="center"/>
    </xf>
    <xf numFmtId="0" fontId="4" fillId="5" borderId="6" xfId="0" applyFont="1" applyFill="1" applyBorder="1" applyAlignment="1">
      <alignment horizontal="right"/>
    </xf>
    <xf numFmtId="164" fontId="6" fillId="0" borderId="8" xfId="0" applyNumberFormat="1" applyFont="1" applyBorder="1"/>
    <xf numFmtId="0" fontId="7" fillId="7" borderId="4" xfId="0" applyFont="1" applyFill="1" applyBorder="1" applyAlignment="1">
      <alignment horizontal="right" vertical="center"/>
    </xf>
    <xf numFmtId="0" fontId="4" fillId="7" borderId="5" xfId="0" applyFont="1" applyFill="1" applyBorder="1" applyAlignment="1">
      <alignment horizontal="left" vertical="center" wrapText="1"/>
    </xf>
    <xf numFmtId="164" fontId="4" fillId="7" borderId="5" xfId="0" applyNumberFormat="1" applyFont="1" applyFill="1" applyBorder="1" applyAlignment="1">
      <alignment horizontal="left" vertical="center" wrapText="1"/>
    </xf>
    <xf numFmtId="165" fontId="4" fillId="7" borderId="5" xfId="0" applyNumberFormat="1" applyFont="1" applyFill="1" applyBorder="1" applyAlignment="1">
      <alignment horizontal="left" vertical="center" wrapText="1"/>
    </xf>
    <xf numFmtId="0" fontId="7" fillId="3" borderId="0" xfId="0" applyFont="1" applyFill="1"/>
    <xf numFmtId="0" fontId="7" fillId="3" borderId="5" xfId="0" applyFont="1" applyFill="1" applyBorder="1"/>
    <xf numFmtId="164" fontId="4" fillId="0" borderId="0" xfId="0" applyNumberFormat="1" applyFont="1"/>
    <xf numFmtId="164" fontId="4" fillId="0" borderId="5" xfId="0" applyNumberFormat="1" applyFont="1" applyBorder="1"/>
    <xf numFmtId="164" fontId="4" fillId="0" borderId="7" xfId="0" applyNumberFormat="1" applyFont="1" applyBorder="1"/>
    <xf numFmtId="164" fontId="4" fillId="0" borderId="8" xfId="0" applyNumberFormat="1" applyFont="1" applyBorder="1"/>
    <xf numFmtId="0" fontId="7" fillId="7" borderId="1" xfId="0" applyFont="1" applyFill="1" applyBorder="1" applyAlignment="1">
      <alignment horizontal="right" vertical="center"/>
    </xf>
    <xf numFmtId="0" fontId="4" fillId="7" borderId="3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164" fontId="11" fillId="4" borderId="5" xfId="0" applyNumberFormat="1" applyFont="1" applyFill="1" applyBorder="1" applyAlignment="1">
      <alignment vertical="center"/>
    </xf>
    <xf numFmtId="9" fontId="11" fillId="4" borderId="5" xfId="1" applyFont="1" applyFill="1" applyBorder="1" applyAlignment="1">
      <alignment vertical="center"/>
    </xf>
    <xf numFmtId="164" fontId="11" fillId="4" borderId="8" xfId="0" applyNumberFormat="1" applyFont="1" applyFill="1" applyBorder="1"/>
    <xf numFmtId="0" fontId="3" fillId="6" borderId="0" xfId="0" applyFont="1" applyFill="1" applyAlignment="1">
      <alignment horizontal="center" vertical="center"/>
    </xf>
    <xf numFmtId="0" fontId="4" fillId="6" borderId="0" xfId="0" applyFont="1" applyFill="1"/>
    <xf numFmtId="0" fontId="5" fillId="6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left" vertical="top" wrapText="1"/>
    </xf>
    <xf numFmtId="0" fontId="4" fillId="7" borderId="8" xfId="0" applyFont="1" applyFill="1" applyBorder="1" applyAlignment="1">
      <alignment horizontal="left" vertical="top" wrapText="1"/>
    </xf>
    <xf numFmtId="0" fontId="7" fillId="7" borderId="4" xfId="0" applyFont="1" applyFill="1" applyBorder="1" applyAlignment="1">
      <alignment horizontal="right" vertical="top"/>
    </xf>
    <xf numFmtId="0" fontId="7" fillId="7" borderId="6" xfId="0" applyFont="1" applyFill="1" applyBorder="1" applyAlignment="1">
      <alignment horizontal="right" vertical="top"/>
    </xf>
    <xf numFmtId="0" fontId="3" fillId="2" borderId="0" xfId="0" applyFont="1" applyFill="1" applyAlignment="1">
      <alignment horizontal="center" vertical="center"/>
    </xf>
    <xf numFmtId="0" fontId="4" fillId="0" borderId="0" xfId="0" applyFont="1"/>
  </cellXfs>
  <cellStyles count="3">
    <cellStyle name="Normal" xfId="0" builtinId="0"/>
    <cellStyle name="Normal 2" xfId="2" xr:uid="{4A451C0C-40E3-444A-8DF4-FB4657328595}"/>
    <cellStyle name="Per cent" xfId="1" builtinId="5"/>
  </cellStyles>
  <dxfs count="3">
    <dxf>
      <font>
        <color rgb="FFC00000"/>
      </font>
    </dxf>
    <dxf>
      <fill>
        <patternFill patternType="solid">
          <bgColor rgb="FFF4CCCC"/>
        </patternFill>
      </fill>
    </dxf>
    <dxf>
      <fill>
        <patternFill patternType="solid"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 sz="1600" b="1">
                <a:latin typeface="Arial" panose="020B0604020202020204" pitchFamily="34" charset="0"/>
                <a:cs typeface="Arial" panose="020B0604020202020204" pitchFamily="34" charset="0"/>
              </a:rPr>
              <a:t>Korzyść netto vs. scenariusze ceny T</a:t>
            </a:r>
            <a:r>
              <a:rPr lang="en-GB" sz="1600" b="1" baseline="30000">
                <a:latin typeface="Arial" panose="020B0604020202020204" pitchFamily="34" charset="0"/>
                <a:cs typeface="Arial" panose="020B0604020202020204" pitchFamily="34" charset="0"/>
              </a:rPr>
              <a:t>1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Cena T1</c:v>
          </c:tx>
          <c:cat>
            <c:strRef>
              <c:f>Model!$A$14:$A$17</c:f>
              <c:strCache>
                <c:ptCount val="4"/>
                <c:pt idx="0">
                  <c:v>-5% vs baza</c:v>
                </c:pt>
                <c:pt idx="1">
                  <c:v>Baza</c:v>
                </c:pt>
                <c:pt idx="2">
                  <c:v>+5% vs baza</c:v>
                </c:pt>
                <c:pt idx="3">
                  <c:v>+10% vs baza</c:v>
                </c:pt>
              </c:strCache>
            </c:strRef>
          </c:cat>
          <c:val>
            <c:numRef>
              <c:f>Model!$B$14:$B$17</c:f>
              <c:numCache>
                <c:formatCode>#\ ##0;[Red]\(#\ ##0\);\-</c:formatCode>
                <c:ptCount val="4"/>
                <c:pt idx="0">
                  <c:v>4655</c:v>
                </c:pt>
                <c:pt idx="1">
                  <c:v>4900</c:v>
                </c:pt>
                <c:pt idx="2">
                  <c:v>5145</c:v>
                </c:pt>
                <c:pt idx="3">
                  <c:v>5390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75-A14D-99A1-959BB6A52413}"/>
            </c:ext>
          </c:extLst>
        </c:ser>
        <c:ser>
          <c:idx val="1"/>
          <c:order val="1"/>
          <c:tx>
            <c:v>Korzyść netto</c:v>
          </c:tx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P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Model!$A$14:$A$17</c:f>
              <c:strCache>
                <c:ptCount val="4"/>
                <c:pt idx="0">
                  <c:v>-5% vs baza</c:v>
                </c:pt>
                <c:pt idx="1">
                  <c:v>Baza</c:v>
                </c:pt>
                <c:pt idx="2">
                  <c:v>+5% vs baza</c:v>
                </c:pt>
                <c:pt idx="3">
                  <c:v>+10% vs baza</c:v>
                </c:pt>
              </c:strCache>
            </c:strRef>
          </c:cat>
          <c:val>
            <c:numRef>
              <c:f>Model!$C$14:$C$17</c:f>
              <c:numCache>
                <c:formatCode>#\ ##0;[Red]\(#\ ##0\);\-</c:formatCode>
                <c:ptCount val="4"/>
                <c:pt idx="0">
                  <c:v>-37500</c:v>
                </c:pt>
                <c:pt idx="1">
                  <c:v>85000</c:v>
                </c:pt>
                <c:pt idx="2">
                  <c:v>207500</c:v>
                </c:pt>
                <c:pt idx="3">
                  <c:v>330000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75-A14D-99A1-959BB6A52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PL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#\ ##0;[Red]\(#\ ##0\);\-" sourceLinked="1"/>
        <c:majorTickMark val="none"/>
        <c:minorTickMark val="none"/>
        <c:tickLblPos val="nextTo"/>
        <c:txPr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PL"/>
          </a:p>
        </c:txPr>
        <c:crossAx val="48650112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zero"/>
    <c:showDLblsOverMax val="1"/>
  </c:chart>
  <c:spPr>
    <a:solidFill>
      <a:schemeClr val="bg1">
        <a:lumMod val="95000"/>
      </a:schemeClr>
    </a:solidFill>
    <a:ln w="9525"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202391</xdr:colOff>
      <xdr:row>10</xdr:row>
      <xdr:rowOff>169333</xdr:rowOff>
    </xdr:from>
    <xdr:to>
      <xdr:col>8</xdr:col>
      <xdr:colOff>2561167</xdr:colOff>
      <xdr:row>27</xdr:row>
      <xdr:rowOff>41679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showGridLines="0" zoomScale="138" zoomScaleNormal="138" workbookViewId="0">
      <selection activeCell="B14" sqref="B14"/>
    </sheetView>
  </sheetViews>
  <sheetFormatPr baseColWidth="10" defaultColWidth="8.83203125" defaultRowHeight="14"/>
  <cols>
    <col min="1" max="1" width="15.6640625" style="1" customWidth="1"/>
    <col min="2" max="2" width="148" style="1" customWidth="1"/>
    <col min="3" max="16384" width="8.83203125" style="1"/>
  </cols>
  <sheetData>
    <row r="1" spans="1:6" ht="32" customHeight="1">
      <c r="A1" s="44" t="s">
        <v>0</v>
      </c>
      <c r="B1" s="45"/>
      <c r="C1" s="45"/>
      <c r="D1" s="45"/>
      <c r="E1" s="45"/>
      <c r="F1" s="45"/>
    </row>
    <row r="2" spans="1:6" s="2" customFormat="1" ht="27" customHeight="1">
      <c r="A2" s="4" t="s">
        <v>1</v>
      </c>
      <c r="B2" s="3" t="s">
        <v>2</v>
      </c>
    </row>
    <row r="3" spans="1:6" s="2" customFormat="1" ht="27" customHeight="1">
      <c r="A3" s="4" t="s">
        <v>3</v>
      </c>
      <c r="B3" s="3" t="s">
        <v>4</v>
      </c>
    </row>
    <row r="4" spans="1:6" s="2" customFormat="1" ht="27" customHeight="1">
      <c r="A4" s="4" t="s">
        <v>5</v>
      </c>
      <c r="B4" s="3" t="s">
        <v>6</v>
      </c>
    </row>
    <row r="5" spans="1:6" s="2" customFormat="1" ht="27" customHeight="1">
      <c r="A5" s="4" t="s">
        <v>7</v>
      </c>
      <c r="B5" s="3" t="s">
        <v>8</v>
      </c>
    </row>
    <row r="6" spans="1:6" s="2" customFormat="1" ht="27" customHeight="1">
      <c r="A6" s="4" t="s">
        <v>9</v>
      </c>
      <c r="B6" s="3" t="s">
        <v>10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showGridLines="0" tabSelected="1" zoomScale="132" zoomScaleNormal="132" workbookViewId="0">
      <selection activeCell="A24" sqref="A24"/>
    </sheetView>
  </sheetViews>
  <sheetFormatPr baseColWidth="10" defaultColWidth="8.83203125" defaultRowHeight="14"/>
  <cols>
    <col min="1" max="1" width="40.33203125" style="1" customWidth="1"/>
    <col min="2" max="2" width="16" style="1" customWidth="1"/>
    <col min="3" max="3" width="13" style="1" customWidth="1"/>
    <col min="4" max="4" width="3.1640625" style="1" customWidth="1"/>
    <col min="5" max="5" width="32.6640625" style="1" customWidth="1"/>
    <col min="6" max="6" width="11.6640625" style="1" customWidth="1"/>
    <col min="7" max="7" width="2.83203125" style="1" customWidth="1"/>
    <col min="8" max="8" width="36" style="1" customWidth="1"/>
    <col min="9" max="9" width="35.1640625" style="1" customWidth="1"/>
    <col min="10" max="16384" width="8.83203125" style="1"/>
  </cols>
  <sheetData>
    <row r="1" spans="1:9" ht="34.75" customHeight="1">
      <c r="A1" s="32" t="s">
        <v>11</v>
      </c>
      <c r="B1" s="33"/>
      <c r="C1" s="33"/>
      <c r="D1" s="33"/>
      <c r="E1" s="33"/>
      <c r="F1" s="33"/>
      <c r="G1" s="33"/>
      <c r="H1" s="33"/>
      <c r="I1" s="33"/>
    </row>
    <row r="2" spans="1:9" ht="15" thickBot="1"/>
    <row r="3" spans="1:9" ht="15" thickBot="1">
      <c r="A3" s="34" t="s">
        <v>12</v>
      </c>
      <c r="B3" s="35"/>
      <c r="C3" s="5"/>
      <c r="E3" s="34" t="s">
        <v>13</v>
      </c>
      <c r="F3" s="36"/>
      <c r="H3" s="34" t="s">
        <v>14</v>
      </c>
      <c r="I3" s="36"/>
    </row>
    <row r="4" spans="1:9" ht="17" customHeight="1">
      <c r="A4" s="6" t="s">
        <v>15</v>
      </c>
      <c r="B4" s="7" t="s">
        <v>16</v>
      </c>
      <c r="C4" s="29">
        <v>4500</v>
      </c>
      <c r="D4" s="2"/>
      <c r="E4" s="10" t="s">
        <v>17</v>
      </c>
      <c r="F4" s="11">
        <f>C5-C4</f>
        <v>400</v>
      </c>
      <c r="G4" s="2"/>
      <c r="H4" s="24" t="s">
        <v>18</v>
      </c>
      <c r="I4" s="25" t="str">
        <f>IF(F9&gt;0,"TAK","NIE")</f>
        <v>TAK</v>
      </c>
    </row>
    <row r="5" spans="1:9" ht="17" customHeight="1">
      <c r="A5" s="6" t="s">
        <v>19</v>
      </c>
      <c r="B5" s="7" t="s">
        <v>16</v>
      </c>
      <c r="C5" s="29">
        <v>4900</v>
      </c>
      <c r="D5" s="2"/>
      <c r="E5" s="10" t="s">
        <v>20</v>
      </c>
      <c r="F5" s="11">
        <f>(C5-C4)*C6</f>
        <v>200000</v>
      </c>
      <c r="G5" s="2"/>
      <c r="H5" s="14" t="s">
        <v>21</v>
      </c>
      <c r="I5" s="15" t="str">
        <f>IF(F4&gt;0,"ROŚNIE","SPADA / BEZ ZMIAN")</f>
        <v>ROŚNIE</v>
      </c>
    </row>
    <row r="6" spans="1:9" ht="17" customHeight="1">
      <c r="A6" s="6" t="s">
        <v>22</v>
      </c>
      <c r="B6" s="7" t="s">
        <v>23</v>
      </c>
      <c r="C6" s="29">
        <v>500</v>
      </c>
      <c r="D6" s="2"/>
      <c r="E6" s="10" t="s">
        <v>24</v>
      </c>
      <c r="F6" s="11">
        <f>C4*C6</f>
        <v>2250000</v>
      </c>
      <c r="G6" s="2"/>
      <c r="H6" s="14" t="s">
        <v>25</v>
      </c>
      <c r="I6" s="16">
        <f>C4+F8/C6</f>
        <v>4730</v>
      </c>
    </row>
    <row r="7" spans="1:9" ht="17" customHeight="1">
      <c r="A7" s="6" t="s">
        <v>26</v>
      </c>
      <c r="B7" s="7" t="s">
        <v>27</v>
      </c>
      <c r="C7" s="30">
        <v>0.1</v>
      </c>
      <c r="D7" s="2"/>
      <c r="E7" s="10" t="s">
        <v>28</v>
      </c>
      <c r="F7" s="11">
        <f>F6*C7*(C8/12)</f>
        <v>75000</v>
      </c>
      <c r="G7" s="2"/>
      <c r="H7" s="14" t="s">
        <v>29</v>
      </c>
      <c r="I7" s="17">
        <f>IF(F6=0,0,F9/F6)</f>
        <v>3.7777777777777778E-2</v>
      </c>
    </row>
    <row r="8" spans="1:9" ht="17" customHeight="1">
      <c r="A8" s="6" t="s">
        <v>30</v>
      </c>
      <c r="B8" s="7" t="s">
        <v>31</v>
      </c>
      <c r="C8" s="29">
        <v>4</v>
      </c>
      <c r="D8" s="2"/>
      <c r="E8" s="10" t="s">
        <v>32</v>
      </c>
      <c r="F8" s="11">
        <f>F7+C9</f>
        <v>115000</v>
      </c>
      <c r="G8" s="2"/>
      <c r="H8" s="42" t="s">
        <v>33</v>
      </c>
      <c r="I8" s="40" t="str">
        <f>IF(F9&gt;0,"Korzyść cenowa przewyższa koszt kapitału i koszty dodatkowe.","Koszt kapitału i koszty dodatkowe przewyższają korzyść cenową.")</f>
        <v>Korzyść cenowa przewyższa koszt kapitału i koszty dodatkowe.</v>
      </c>
    </row>
    <row r="9" spans="1:9" ht="17" customHeight="1" thickBot="1">
      <c r="A9" s="8" t="s">
        <v>34</v>
      </c>
      <c r="B9" s="9" t="s">
        <v>35</v>
      </c>
      <c r="C9" s="31">
        <v>40000</v>
      </c>
      <c r="E9" s="12" t="s">
        <v>36</v>
      </c>
      <c r="F9" s="13">
        <f>F5-F8</f>
        <v>85000</v>
      </c>
      <c r="H9" s="43"/>
      <c r="I9" s="41"/>
    </row>
    <row r="11" spans="1:9" ht="15" thickBot="1"/>
    <row r="12" spans="1:9" ht="14" customHeight="1">
      <c r="A12" s="37" t="s">
        <v>37</v>
      </c>
      <c r="B12" s="38"/>
      <c r="C12" s="39"/>
    </row>
    <row r="13" spans="1:9" ht="13" customHeight="1">
      <c r="A13" s="26" t="s">
        <v>38</v>
      </c>
      <c r="B13" s="18" t="s">
        <v>39</v>
      </c>
      <c r="C13" s="19" t="s">
        <v>36</v>
      </c>
      <c r="D13" s="2"/>
      <c r="E13" s="2"/>
    </row>
    <row r="14" spans="1:9" ht="13" customHeight="1">
      <c r="A14" s="27" t="s">
        <v>40</v>
      </c>
      <c r="B14" s="20">
        <f>C5*0.95</f>
        <v>4655</v>
      </c>
      <c r="C14" s="21">
        <f>(B14-$C$4)*$C$6-($F$7+$C$9)</f>
        <v>-37500</v>
      </c>
      <c r="D14" s="2"/>
      <c r="E14" s="2"/>
    </row>
    <row r="15" spans="1:9" ht="13" customHeight="1">
      <c r="A15" s="27" t="s">
        <v>41</v>
      </c>
      <c r="B15" s="20">
        <f>C5</f>
        <v>4900</v>
      </c>
      <c r="C15" s="21">
        <f>(B15-$C$4)*$C$6-($F$7+$C$9)</f>
        <v>85000</v>
      </c>
    </row>
    <row r="16" spans="1:9" ht="13" customHeight="1">
      <c r="A16" s="27" t="s">
        <v>42</v>
      </c>
      <c r="B16" s="20">
        <f>C5*1.05</f>
        <v>5145</v>
      </c>
      <c r="C16" s="21">
        <f>(B16-$C$4)*$C$6-($F$7+$C$9)</f>
        <v>207500</v>
      </c>
      <c r="D16" s="2"/>
      <c r="E16" s="2"/>
    </row>
    <row r="17" spans="1:5" ht="13" customHeight="1" thickBot="1">
      <c r="A17" s="28" t="s">
        <v>43</v>
      </c>
      <c r="B17" s="22">
        <f>C5*1.1</f>
        <v>5390</v>
      </c>
      <c r="C17" s="23">
        <f>(B17-$C$4)*$C$6-($F$7+$C$9)</f>
        <v>330000</v>
      </c>
      <c r="D17" s="2"/>
      <c r="E17" s="2"/>
    </row>
    <row r="19" spans="1:5">
      <c r="A19" s="1" t="s">
        <v>44</v>
      </c>
    </row>
    <row r="20" spans="1:5" ht="15">
      <c r="A20" s="1" t="s">
        <v>45</v>
      </c>
    </row>
    <row r="21" spans="1:5">
      <c r="A21" s="1" t="s">
        <v>46</v>
      </c>
    </row>
    <row r="22" spans="1:5" ht="15">
      <c r="A22" s="1" t="s">
        <v>47</v>
      </c>
    </row>
  </sheetData>
  <mergeCells count="7">
    <mergeCell ref="A1:I1"/>
    <mergeCell ref="A3:B3"/>
    <mergeCell ref="E3:F3"/>
    <mergeCell ref="H3:I3"/>
    <mergeCell ref="A12:C12"/>
    <mergeCell ref="I8:I9"/>
    <mergeCell ref="H8:H9"/>
  </mergeCells>
  <conditionalFormatting sqref="C14:C17">
    <cfRule type="cellIs" dxfId="2" priority="1" operator="greaterThanOrEqual">
      <formula>0</formula>
    </cfRule>
    <cfRule type="cellIs" dxfId="1" priority="2" operator="lessThan">
      <formula>0</formula>
    </cfRule>
  </conditionalFormatting>
  <conditionalFormatting sqref="C4:C9">
    <cfRule type="expression" dxfId="0" priority="3">
      <formula>$C4&gt;3000</formula>
    </cfRule>
  </conditionalFormatting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Instrukcja</vt:lpstr>
      <vt:lpstr>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 oszczędności vs. WACC</dc:title>
  <dc:subject/>
  <dc:creator>Tomasz Uściński</dc:creator>
  <cp:keywords/>
  <dc:description/>
  <cp:lastModifiedBy>Tomasz Uściński</cp:lastModifiedBy>
  <cp:revision/>
  <dcterms:created xsi:type="dcterms:W3CDTF">2026-04-09T18:23:02Z</dcterms:created>
  <dcterms:modified xsi:type="dcterms:W3CDTF">2026-04-10T10:11:30Z</dcterms:modified>
  <cp:category/>
  <cp:contentStatus/>
</cp:coreProperties>
</file>